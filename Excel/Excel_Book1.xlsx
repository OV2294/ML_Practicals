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ML\"/>
    </mc:Choice>
  </mc:AlternateContent>
  <xr:revisionPtr revIDLastSave="0" documentId="13_ncr:1_{57D4564F-650E-4FD5-82BB-567C8BE98AC0}" xr6:coauthVersionLast="47" xr6:coauthVersionMax="47" xr10:uidLastSave="{00000000-0000-0000-0000-000000000000}"/>
  <bookViews>
    <workbookView xWindow="-120" yWindow="-120" windowWidth="29040" windowHeight="15840" activeTab="6" xr2:uid="{B144C776-C58F-44B4-B208-FB9146622980}"/>
  </bookViews>
  <sheets>
    <sheet name="Unit Test 1" sheetId="1" r:id="rId1"/>
    <sheet name="Data Validation" sheetId="2" r:id="rId2"/>
    <sheet name="Data Validation - Constraints" sheetId="4" r:id="rId3"/>
    <sheet name="Data Validation - Whole Nos" sheetId="3" r:id="rId4"/>
    <sheet name="Data Validation - Time" sheetId="6" r:id="rId5"/>
    <sheet name="Condition Formatting" sheetId="7" r:id="rId6"/>
    <sheet name="Sheet8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8" l="1"/>
  <c r="E11" i="8"/>
  <c r="E10" i="8"/>
  <c r="E9" i="8"/>
  <c r="E8" i="8"/>
  <c r="E3" i="8"/>
  <c r="E4" i="8"/>
  <c r="E5" i="8"/>
  <c r="E6" i="8"/>
  <c r="E2" i="8"/>
  <c r="R3" i="2"/>
  <c r="S3" i="2"/>
  <c r="S4" i="2"/>
  <c r="S5" i="2"/>
  <c r="S6" i="2"/>
  <c r="S7" i="2"/>
  <c r="S8" i="2"/>
  <c r="S10" i="2"/>
  <c r="S2" i="2"/>
  <c r="R4" i="2"/>
  <c r="R5" i="2"/>
  <c r="R6" i="2"/>
  <c r="R7" i="2"/>
  <c r="R8" i="2"/>
  <c r="R10" i="2"/>
  <c r="R2" i="2"/>
  <c r="F3" i="2"/>
  <c r="F4" i="2"/>
  <c r="F5" i="2"/>
  <c r="F6" i="2"/>
  <c r="F7" i="2"/>
  <c r="F2" i="2"/>
  <c r="E3" i="2"/>
  <c r="E4" i="2"/>
  <c r="E5" i="2"/>
  <c r="E6" i="2"/>
  <c r="E7" i="2"/>
  <c r="E2" i="2"/>
  <c r="F14" i="1"/>
  <c r="G14" i="1"/>
  <c r="F13" i="1"/>
  <c r="G13" i="1"/>
  <c r="E16" i="1"/>
  <c r="E15" i="1"/>
  <c r="E14" i="1"/>
  <c r="E13" i="1"/>
  <c r="C14" i="1"/>
  <c r="C13" i="1"/>
  <c r="D14" i="1"/>
  <c r="D13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F5" i="1"/>
  <c r="F6" i="1"/>
  <c r="F7" i="1"/>
  <c r="F8" i="1"/>
  <c r="F9" i="1"/>
  <c r="F10" i="1"/>
  <c r="F3" i="1"/>
  <c r="F4" i="1"/>
  <c r="G2" i="1"/>
  <c r="H2" i="1" s="1"/>
  <c r="F2" i="1"/>
</calcChain>
</file>

<file path=xl/sharedStrings.xml><?xml version="1.0" encoding="utf-8"?>
<sst xmlns="http://schemas.openxmlformats.org/spreadsheetml/2006/main" count="146" uniqueCount="102">
  <si>
    <t>Roll</t>
  </si>
  <si>
    <t>Name</t>
  </si>
  <si>
    <t>English</t>
  </si>
  <si>
    <t>Maths</t>
  </si>
  <si>
    <t>Sci</t>
  </si>
  <si>
    <t>Total</t>
  </si>
  <si>
    <t>Avg</t>
  </si>
  <si>
    <t>Remarks</t>
  </si>
  <si>
    <t>sakshi</t>
  </si>
  <si>
    <t>anchal</t>
  </si>
  <si>
    <t>omkar</t>
  </si>
  <si>
    <t>manash</t>
  </si>
  <si>
    <t>bhushan</t>
  </si>
  <si>
    <t>sanika</t>
  </si>
  <si>
    <t>kasturi</t>
  </si>
  <si>
    <t>parth</t>
  </si>
  <si>
    <t>shruti</t>
  </si>
  <si>
    <t>Min</t>
  </si>
  <si>
    <t>Max</t>
  </si>
  <si>
    <t>No of students passed</t>
  </si>
  <si>
    <t>No of students Failed</t>
  </si>
  <si>
    <t>Subject</t>
  </si>
  <si>
    <t>Marks</t>
  </si>
  <si>
    <t>Science</t>
  </si>
  <si>
    <t>Hindi</t>
  </si>
  <si>
    <t>Marathi</t>
  </si>
  <si>
    <t>Geography</t>
  </si>
  <si>
    <t>Grade</t>
  </si>
  <si>
    <t>A</t>
  </si>
  <si>
    <t>A+</t>
  </si>
  <si>
    <t>B</t>
  </si>
  <si>
    <t>Blank</t>
  </si>
  <si>
    <t>Trim</t>
  </si>
  <si>
    <t xml:space="preserve">    saku</t>
  </si>
  <si>
    <t>man</t>
  </si>
  <si>
    <t xml:space="preserve">Roll No. </t>
  </si>
  <si>
    <t xml:space="preserve"> Subject 1</t>
  </si>
  <si>
    <t>Subject 2</t>
  </si>
  <si>
    <t>Subject 3</t>
  </si>
  <si>
    <t>Average</t>
  </si>
  <si>
    <t>Fees</t>
  </si>
  <si>
    <t>ID</t>
  </si>
  <si>
    <t>Score</t>
  </si>
  <si>
    <t>Attempts</t>
  </si>
  <si>
    <t>Task</t>
  </si>
  <si>
    <t>Due Date</t>
  </si>
  <si>
    <t>Lab 1</t>
  </si>
  <si>
    <t>Assignment 1</t>
  </si>
  <si>
    <t>Assignment 2</t>
  </si>
  <si>
    <t>Due Date 2</t>
  </si>
  <si>
    <t>Due Date 3</t>
  </si>
  <si>
    <t>UserName</t>
  </si>
  <si>
    <t>Password</t>
  </si>
  <si>
    <t>hello</t>
  </si>
  <si>
    <t>nice43</t>
  </si>
  <si>
    <t>hellobye</t>
  </si>
  <si>
    <t>bhsasa</t>
  </si>
  <si>
    <t>Course</t>
  </si>
  <si>
    <t>Day</t>
  </si>
  <si>
    <t>Start Time</t>
  </si>
  <si>
    <t>End Time</t>
  </si>
  <si>
    <t>Maths 101</t>
  </si>
  <si>
    <t>Physics 101</t>
  </si>
  <si>
    <t>Chemistry 101</t>
  </si>
  <si>
    <t>English 101</t>
  </si>
  <si>
    <t>Comp Sci 202</t>
  </si>
  <si>
    <t>History 102</t>
  </si>
  <si>
    <t>Geography 102</t>
  </si>
  <si>
    <t>Econimics 101</t>
  </si>
  <si>
    <t>Art 101</t>
  </si>
  <si>
    <t>Music 101</t>
  </si>
  <si>
    <t>Monday</t>
  </si>
  <si>
    <t>Tuesday</t>
  </si>
  <si>
    <t>Wednesday</t>
  </si>
  <si>
    <t>Thursday</t>
  </si>
  <si>
    <t>Start Time for login is allowed omly from 9:00-9:15</t>
  </si>
  <si>
    <t>End Time from 5:00-5:15</t>
  </si>
  <si>
    <t>Start Time- Validation</t>
  </si>
  <si>
    <t>End Time- Validation</t>
  </si>
  <si>
    <t>Salesperson</t>
  </si>
  <si>
    <t>Region</t>
  </si>
  <si>
    <t>Sales($)</t>
  </si>
  <si>
    <t>Incentive</t>
  </si>
  <si>
    <t>North</t>
  </si>
  <si>
    <t>South</t>
  </si>
  <si>
    <t xml:space="preserve">East </t>
  </si>
  <si>
    <t>West</t>
  </si>
  <si>
    <t>Product Code</t>
  </si>
  <si>
    <t>a1</t>
  </si>
  <si>
    <t>a2</t>
  </si>
  <si>
    <t>a3</t>
  </si>
  <si>
    <t>a4</t>
  </si>
  <si>
    <t>a5</t>
  </si>
  <si>
    <t>Items</t>
  </si>
  <si>
    <t>C</t>
  </si>
  <si>
    <t>D</t>
  </si>
  <si>
    <t>E</t>
  </si>
  <si>
    <t>Qty</t>
  </si>
  <si>
    <t>price</t>
  </si>
  <si>
    <t>Amount</t>
  </si>
  <si>
    <t>GST</t>
  </si>
  <si>
    <t>Total Billing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</si>
</sst>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4" fontId="0" fillId="5" borderId="1" xfId="0" applyNumberFormat="1" applyFill="1" applyBorder="1"/>
    <xf numFmtId="49" fontId="0" fillId="5" borderId="1" xfId="0" applyNumberFormat="1" applyFill="1" applyBorder="1"/>
    <xf numFmtId="0" fontId="0" fillId="3" borderId="0" xfId="0" applyFill="1" applyBorder="1"/>
    <xf numFmtId="0" fontId="0" fillId="7" borderId="1" xfId="0" applyFill="1" applyBorder="1"/>
    <xf numFmtId="0" fontId="0" fillId="6" borderId="1" xfId="0" applyFill="1" applyBorder="1"/>
    <xf numFmtId="14" fontId="0" fillId="7" borderId="1" xfId="0" applyNumberFormat="1" applyFill="1" applyBorder="1"/>
    <xf numFmtId="0" fontId="2" fillId="7" borderId="1" xfId="0" applyFont="1" applyFill="1" applyBorder="1"/>
    <xf numFmtId="0" fontId="0" fillId="0" borderId="1" xfId="0" applyFill="1" applyBorder="1"/>
    <xf numFmtId="0" fontId="0" fillId="7" borderId="2" xfId="0" applyFill="1" applyBorder="1"/>
    <xf numFmtId="0" fontId="0" fillId="0" borderId="2" xfId="0" applyFill="1" applyBorder="1"/>
    <xf numFmtId="0" fontId="2" fillId="7" borderId="2" xfId="0" applyFont="1" applyFill="1" applyBorder="1"/>
    <xf numFmtId="0" fontId="0" fillId="0" borderId="0" xfId="0" applyFill="1" applyBorder="1"/>
    <xf numFmtId="0" fontId="0" fillId="8" borderId="0" xfId="0" applyFill="1"/>
    <xf numFmtId="0" fontId="0" fillId="9" borderId="0" xfId="0" applyFill="1"/>
    <xf numFmtId="20" fontId="0" fillId="9" borderId="0" xfId="0" applyNumberFormat="1" applyFill="1"/>
    <xf numFmtId="0" fontId="1" fillId="0" borderId="0" xfId="0" applyFont="1"/>
  </cellXfs>
  <cellStyles count="1"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'Condition Formatting'!$C$1</c:f>
              <c:strCache>
                <c:ptCount val="1"/>
                <c:pt idx="0">
                  <c:v>Sales($)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'Condition Formatting'!$A$2:$B$7</c:f>
              <c:multiLvlStrCache>
                <c:ptCount val="6"/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 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West</c:v>
                  </c:pt>
                </c:lvl>
                <c:lvl>
                  <c:pt idx="0">
                    <c:v>sakshi</c:v>
                  </c:pt>
                  <c:pt idx="1">
                    <c:v>anchal</c:v>
                  </c:pt>
                  <c:pt idx="2">
                    <c:v>omkar</c:v>
                  </c:pt>
                  <c:pt idx="3">
                    <c:v>manash</c:v>
                  </c:pt>
                  <c:pt idx="4">
                    <c:v>bhushan</c:v>
                  </c:pt>
                  <c:pt idx="5">
                    <c:v>sanika</c:v>
                  </c:pt>
                </c:lvl>
              </c:multiLvlStrCache>
            </c:multiLvlStrRef>
          </c:cat>
          <c:val>
            <c:numRef>
              <c:f>'Condition Formatting'!$C$2:$C$7</c:f>
              <c:numCache>
                <c:formatCode>General</c:formatCode>
                <c:ptCount val="6"/>
                <c:pt idx="0">
                  <c:v>120000</c:v>
                </c:pt>
                <c:pt idx="1">
                  <c:v>4355</c:v>
                </c:pt>
                <c:pt idx="2">
                  <c:v>3000</c:v>
                </c:pt>
                <c:pt idx="3">
                  <c:v>100</c:v>
                </c:pt>
                <c:pt idx="4">
                  <c:v>40000</c:v>
                </c:pt>
                <c:pt idx="5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A-4DEF-AC8D-5196F3324615}"/>
            </c:ext>
          </c:extLst>
        </c:ser>
        <c:ser>
          <c:idx val="1"/>
          <c:order val="1"/>
          <c:tx>
            <c:strRef>
              <c:f>'Condition Formatting'!$D$1</c:f>
              <c:strCache>
                <c:ptCount val="1"/>
                <c:pt idx="0">
                  <c:v>Incentive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'Condition Formatting'!$A$2:$B$7</c:f>
              <c:multiLvlStrCache>
                <c:ptCount val="6"/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 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West</c:v>
                  </c:pt>
                </c:lvl>
                <c:lvl>
                  <c:pt idx="0">
                    <c:v>sakshi</c:v>
                  </c:pt>
                  <c:pt idx="1">
                    <c:v>anchal</c:v>
                  </c:pt>
                  <c:pt idx="2">
                    <c:v>omkar</c:v>
                  </c:pt>
                  <c:pt idx="3">
                    <c:v>manash</c:v>
                  </c:pt>
                  <c:pt idx="4">
                    <c:v>bhushan</c:v>
                  </c:pt>
                  <c:pt idx="5">
                    <c:v>sanika</c:v>
                  </c:pt>
                </c:lvl>
              </c:multiLvlStrCache>
            </c:multiLvlStrRef>
          </c:cat>
          <c:val>
            <c:numRef>
              <c:f>'Condition Formatting'!$D$2:$D$7</c:f>
              <c:numCache>
                <c:formatCode>General</c:formatCode>
                <c:ptCount val="6"/>
                <c:pt idx="0">
                  <c:v>2000</c:v>
                </c:pt>
                <c:pt idx="1">
                  <c:v>500</c:v>
                </c:pt>
                <c:pt idx="2">
                  <c:v>3000</c:v>
                </c:pt>
                <c:pt idx="3">
                  <c:v>100</c:v>
                </c:pt>
                <c:pt idx="4">
                  <c:v>4000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EA-4DEF-AC8D-5196F33246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38170703"/>
        <c:axId val="1938166543"/>
        <c:axId val="0"/>
      </c:bar3DChart>
      <c:catAx>
        <c:axId val="193817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166543"/>
        <c:crosses val="autoZero"/>
        <c:auto val="1"/>
        <c:lblAlgn val="ctr"/>
        <c:lblOffset val="100"/>
        <c:noMultiLvlLbl val="0"/>
      </c:catAx>
      <c:valAx>
        <c:axId val="193816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17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'Condition Formatting'!$C$1</c:f>
              <c:strCache>
                <c:ptCount val="1"/>
                <c:pt idx="0">
                  <c:v>Sales($)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'Condition Formatting'!$A$2:$B$7</c:f>
              <c:multiLvlStrCache>
                <c:ptCount val="6"/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 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West</c:v>
                  </c:pt>
                </c:lvl>
                <c:lvl>
                  <c:pt idx="0">
                    <c:v>sakshi</c:v>
                  </c:pt>
                  <c:pt idx="1">
                    <c:v>anchal</c:v>
                  </c:pt>
                  <c:pt idx="2">
                    <c:v>omkar</c:v>
                  </c:pt>
                  <c:pt idx="3">
                    <c:v>manash</c:v>
                  </c:pt>
                  <c:pt idx="4">
                    <c:v>bhushan</c:v>
                  </c:pt>
                  <c:pt idx="5">
                    <c:v>sanika</c:v>
                  </c:pt>
                </c:lvl>
              </c:multiLvlStrCache>
            </c:multiLvlStrRef>
          </c:cat>
          <c:val>
            <c:numRef>
              <c:f>'Condition Formatting'!$C$2:$C$7</c:f>
              <c:numCache>
                <c:formatCode>General</c:formatCode>
                <c:ptCount val="6"/>
                <c:pt idx="0">
                  <c:v>120000</c:v>
                </c:pt>
                <c:pt idx="1">
                  <c:v>4355</c:v>
                </c:pt>
                <c:pt idx="2">
                  <c:v>3000</c:v>
                </c:pt>
                <c:pt idx="3">
                  <c:v>100</c:v>
                </c:pt>
                <c:pt idx="4">
                  <c:v>40000</c:v>
                </c:pt>
                <c:pt idx="5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5-4B23-A472-544F8A0D616B}"/>
            </c:ext>
          </c:extLst>
        </c:ser>
        <c:ser>
          <c:idx val="1"/>
          <c:order val="1"/>
          <c:tx>
            <c:strRef>
              <c:f>'Condition Formatting'!$D$1</c:f>
              <c:strCache>
                <c:ptCount val="1"/>
                <c:pt idx="0">
                  <c:v>Incentive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'Condition Formatting'!$A$2:$B$7</c:f>
              <c:multiLvlStrCache>
                <c:ptCount val="6"/>
                <c:lvl>
                  <c:pt idx="0">
                    <c:v>North</c:v>
                  </c:pt>
                  <c:pt idx="1">
                    <c:v>South</c:v>
                  </c:pt>
                  <c:pt idx="2">
                    <c:v>East </c:v>
                  </c:pt>
                  <c:pt idx="3">
                    <c:v>West</c:v>
                  </c:pt>
                  <c:pt idx="4">
                    <c:v>North</c:v>
                  </c:pt>
                  <c:pt idx="5">
                    <c:v>West</c:v>
                  </c:pt>
                </c:lvl>
                <c:lvl>
                  <c:pt idx="0">
                    <c:v>sakshi</c:v>
                  </c:pt>
                  <c:pt idx="1">
                    <c:v>anchal</c:v>
                  </c:pt>
                  <c:pt idx="2">
                    <c:v>omkar</c:v>
                  </c:pt>
                  <c:pt idx="3">
                    <c:v>manash</c:v>
                  </c:pt>
                  <c:pt idx="4">
                    <c:v>bhushan</c:v>
                  </c:pt>
                  <c:pt idx="5">
                    <c:v>sanika</c:v>
                  </c:pt>
                </c:lvl>
              </c:multiLvlStrCache>
            </c:multiLvlStrRef>
          </c:cat>
          <c:val>
            <c:numRef>
              <c:f>'Condition Formatting'!$D$2:$D$7</c:f>
              <c:numCache>
                <c:formatCode>General</c:formatCode>
                <c:ptCount val="6"/>
                <c:pt idx="0">
                  <c:v>2000</c:v>
                </c:pt>
                <c:pt idx="1">
                  <c:v>500</c:v>
                </c:pt>
                <c:pt idx="2">
                  <c:v>3000</c:v>
                </c:pt>
                <c:pt idx="3">
                  <c:v>100</c:v>
                </c:pt>
                <c:pt idx="4">
                  <c:v>4000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35-4B23-A472-544F8A0D61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38170703"/>
        <c:axId val="1938166543"/>
      </c:barChart>
      <c:catAx>
        <c:axId val="1938170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6350">
                  <a:solidFill>
                    <a:schemeClr val="accent1"/>
                  </a:solidFill>
                  <a:prstDash val="sysDot"/>
                  <a:miter lim="800000"/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 rad="63500">
                    <a:schemeClr val="accent3">
                      <a:satMod val="175000"/>
                      <a:alpha val="3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166543"/>
        <c:crosses val="autoZero"/>
        <c:auto val="1"/>
        <c:lblAlgn val="ctr"/>
        <c:lblOffset val="100"/>
        <c:noMultiLvlLbl val="0"/>
      </c:catAx>
      <c:valAx>
        <c:axId val="193816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17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18</xdr:row>
      <xdr:rowOff>9525</xdr:rowOff>
    </xdr:from>
    <xdr:to>
      <xdr:col>4</xdr:col>
      <xdr:colOff>9525</xdr:colOff>
      <xdr:row>31</xdr:row>
      <xdr:rowOff>135662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017A60-63F5-4AEF-AD9D-5DE646B5D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438525"/>
          <a:ext cx="2924175" cy="2602637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17</xdr:row>
      <xdr:rowOff>76200</xdr:rowOff>
    </xdr:from>
    <xdr:to>
      <xdr:col>7</xdr:col>
      <xdr:colOff>143322</xdr:colOff>
      <xdr:row>42</xdr:row>
      <xdr:rowOff>654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AEA16F-BA6A-4E8D-A1B7-DE384FB76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19450" y="3314700"/>
          <a:ext cx="3200847" cy="46869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5</xdr:col>
      <xdr:colOff>326461</xdr:colOff>
      <xdr:row>36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9F32DF-8E76-46E5-90B0-1F415CB52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91000"/>
          <a:ext cx="3374461" cy="2695575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114301</xdr:colOff>
      <xdr:row>22</xdr:row>
      <xdr:rowOff>142875</xdr:rowOff>
    </xdr:from>
    <xdr:to>
      <xdr:col>12</xdr:col>
      <xdr:colOff>207819</xdr:colOff>
      <xdr:row>34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B97742-EA61-4A3A-868B-DBE2628DF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71901" y="4333875"/>
          <a:ext cx="3751118" cy="2171700"/>
        </a:xfrm>
        <a:prstGeom prst="rect">
          <a:avLst/>
        </a:prstGeom>
      </xdr:spPr>
    </xdr:pic>
    <xdr:clientData/>
  </xdr:twoCellAnchor>
  <xdr:twoCellAnchor editAs="oneCell">
    <xdr:from>
      <xdr:col>12</xdr:col>
      <xdr:colOff>428625</xdr:colOff>
      <xdr:row>22</xdr:row>
      <xdr:rowOff>104775</xdr:rowOff>
    </xdr:from>
    <xdr:to>
      <xdr:col>17</xdr:col>
      <xdr:colOff>523875</xdr:colOff>
      <xdr:row>42</xdr:row>
      <xdr:rowOff>142722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50F59F-D112-4082-906B-D67112F14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43825" y="4295775"/>
          <a:ext cx="3143250" cy="3847947"/>
        </a:xfrm>
        <a:prstGeom prst="rect">
          <a:avLst/>
        </a:prstGeom>
      </xdr:spPr>
    </xdr:pic>
    <xdr:clientData/>
  </xdr:twoCellAnchor>
  <xdr:twoCellAnchor>
    <xdr:from>
      <xdr:col>4</xdr:col>
      <xdr:colOff>390525</xdr:colOff>
      <xdr:row>0</xdr:row>
      <xdr:rowOff>176212</xdr:rowOff>
    </xdr:from>
    <xdr:to>
      <xdr:col>12</xdr:col>
      <xdr:colOff>85725</xdr:colOff>
      <xdr:row>15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834BA9-8768-4575-A89A-13C3A3798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66674</xdr:colOff>
      <xdr:row>1</xdr:row>
      <xdr:rowOff>57150</xdr:rowOff>
    </xdr:from>
    <xdr:to>
      <xdr:col>21</xdr:col>
      <xdr:colOff>533400</xdr:colOff>
      <xdr:row>19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D77DBA-AC6D-4C7E-86B5-EF443D28E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15</xdr:row>
      <xdr:rowOff>57150</xdr:rowOff>
    </xdr:from>
    <xdr:to>
      <xdr:col>4</xdr:col>
      <xdr:colOff>162268</xdr:colOff>
      <xdr:row>25</xdr:row>
      <xdr:rowOff>152679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B13409-904E-4B9A-BDA8-551E1270F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5" y="2914650"/>
          <a:ext cx="2457793" cy="2000529"/>
        </a:xfrm>
        <a:prstGeom prst="rect">
          <a:avLst/>
        </a:prstGeom>
      </xdr:spPr>
    </xdr:pic>
    <xdr:clientData/>
  </xdr:twoCellAnchor>
  <xdr:twoCellAnchor editAs="oneCell">
    <xdr:from>
      <xdr:col>4</xdr:col>
      <xdr:colOff>428625</xdr:colOff>
      <xdr:row>15</xdr:row>
      <xdr:rowOff>133350</xdr:rowOff>
    </xdr:from>
    <xdr:to>
      <xdr:col>10</xdr:col>
      <xdr:colOff>467241</xdr:colOff>
      <xdr:row>23</xdr:row>
      <xdr:rowOff>114510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C9B4ED-7DFD-472D-BF78-1FED9AA75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14675" y="2990850"/>
          <a:ext cx="3696216" cy="150516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17</xdr:col>
      <xdr:colOff>476827</xdr:colOff>
      <xdr:row>30</xdr:row>
      <xdr:rowOff>9899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74B625-DFCE-4278-A392-FC5CE6E5A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0" y="3048000"/>
          <a:ext cx="4134427" cy="2676899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16</xdr:row>
      <xdr:rowOff>38100</xdr:rowOff>
    </xdr:from>
    <xdr:to>
      <xdr:col>20</xdr:col>
      <xdr:colOff>571734</xdr:colOff>
      <xdr:row>29</xdr:row>
      <xdr:rowOff>162288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052E5C-D25B-4163-95F7-ACD536E67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34750" y="3086100"/>
          <a:ext cx="1676634" cy="2600688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23</xdr:col>
      <xdr:colOff>238328</xdr:colOff>
      <xdr:row>29</xdr:row>
      <xdr:rowOff>105135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2B825B8-13AE-49BC-8A7F-C8EE7B501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49250" y="3048000"/>
          <a:ext cx="1457528" cy="2581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0900A-E3F6-4F34-B306-2B04D3A154AD}">
  <dimension ref="A1:H16"/>
  <sheetViews>
    <sheetView workbookViewId="0">
      <selection activeCell="B2" sqref="B2:B7"/>
    </sheetView>
  </sheetViews>
  <sheetFormatPr defaultRowHeight="15" x14ac:dyDescent="0.25"/>
  <cols>
    <col min="1" max="1" width="9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101</v>
      </c>
      <c r="B2" s="2" t="s">
        <v>8</v>
      </c>
      <c r="C2" s="2">
        <v>56</v>
      </c>
      <c r="D2" s="2">
        <v>76</v>
      </c>
      <c r="E2" s="2">
        <v>54</v>
      </c>
      <c r="F2" s="2">
        <f>SUM(C2:E2)</f>
        <v>186</v>
      </c>
      <c r="G2" s="2">
        <f>AVERAGE(C2:E2)</f>
        <v>62</v>
      </c>
      <c r="H2" s="2" t="str">
        <f>IF(G2&gt;=60,"Pass","Fail")</f>
        <v>Pass</v>
      </c>
    </row>
    <row r="3" spans="1:8" x14ac:dyDescent="0.25">
      <c r="A3" s="2">
        <v>102</v>
      </c>
      <c r="B3" s="2" t="s">
        <v>9</v>
      </c>
      <c r="C3" s="2">
        <v>76</v>
      </c>
      <c r="D3" s="2">
        <v>20</v>
      </c>
      <c r="E3" s="2">
        <v>34</v>
      </c>
      <c r="F3" s="2">
        <f t="shared" ref="F3:F10" si="0">SUM(C3:E3)</f>
        <v>130</v>
      </c>
      <c r="G3" s="2">
        <f t="shared" ref="G3:G10" si="1">AVERAGE(C3:E3)</f>
        <v>43.333333333333336</v>
      </c>
      <c r="H3" s="2" t="str">
        <f t="shared" ref="H3:H10" si="2">IF(G3&gt;=60,"Pass","Fail")</f>
        <v>Fail</v>
      </c>
    </row>
    <row r="4" spans="1:8" x14ac:dyDescent="0.25">
      <c r="A4" s="2">
        <v>103</v>
      </c>
      <c r="B4" s="2" t="s">
        <v>10</v>
      </c>
      <c r="C4" s="2">
        <v>64</v>
      </c>
      <c r="D4" s="2">
        <v>64</v>
      </c>
      <c r="E4" s="2">
        <v>64</v>
      </c>
      <c r="F4" s="2">
        <f t="shared" si="0"/>
        <v>192</v>
      </c>
      <c r="G4" s="2">
        <f t="shared" si="1"/>
        <v>64</v>
      </c>
      <c r="H4" s="2" t="str">
        <f t="shared" si="2"/>
        <v>Pass</v>
      </c>
    </row>
    <row r="5" spans="1:8" x14ac:dyDescent="0.25">
      <c r="A5" s="2">
        <v>104</v>
      </c>
      <c r="B5" s="2" t="s">
        <v>11</v>
      </c>
      <c r="C5" s="2">
        <v>65</v>
      </c>
      <c r="D5" s="2">
        <v>43</v>
      </c>
      <c r="E5" s="2">
        <v>43</v>
      </c>
      <c r="F5" s="2">
        <f t="shared" si="0"/>
        <v>151</v>
      </c>
      <c r="G5" s="2">
        <f t="shared" si="1"/>
        <v>50.333333333333336</v>
      </c>
      <c r="H5" s="2" t="str">
        <f t="shared" si="2"/>
        <v>Fail</v>
      </c>
    </row>
    <row r="6" spans="1:8" x14ac:dyDescent="0.25">
      <c r="A6" s="2">
        <v>105</v>
      </c>
      <c r="B6" s="2" t="s">
        <v>12</v>
      </c>
      <c r="C6" s="2">
        <v>43</v>
      </c>
      <c r="D6" s="2">
        <v>65</v>
      </c>
      <c r="E6" s="2">
        <v>75</v>
      </c>
      <c r="F6" s="2">
        <f t="shared" si="0"/>
        <v>183</v>
      </c>
      <c r="G6" s="2">
        <f t="shared" si="1"/>
        <v>61</v>
      </c>
      <c r="H6" s="2" t="str">
        <f t="shared" si="2"/>
        <v>Pass</v>
      </c>
    </row>
    <row r="7" spans="1:8" x14ac:dyDescent="0.25">
      <c r="A7" s="2">
        <v>106</v>
      </c>
      <c r="B7" s="2" t="s">
        <v>13</v>
      </c>
      <c r="C7" s="2">
        <v>65</v>
      </c>
      <c r="D7" s="2">
        <v>54</v>
      </c>
      <c r="E7" s="2">
        <v>65</v>
      </c>
      <c r="F7" s="2">
        <f t="shared" si="0"/>
        <v>184</v>
      </c>
      <c r="G7" s="2">
        <f t="shared" si="1"/>
        <v>61.333333333333336</v>
      </c>
      <c r="H7" s="2" t="str">
        <f t="shared" si="2"/>
        <v>Pass</v>
      </c>
    </row>
    <row r="8" spans="1:8" x14ac:dyDescent="0.25">
      <c r="A8" s="2">
        <v>107</v>
      </c>
      <c r="B8" s="2" t="s">
        <v>14</v>
      </c>
      <c r="C8" s="2">
        <v>66</v>
      </c>
      <c r="D8" s="2">
        <v>55</v>
      </c>
      <c r="E8" s="2">
        <v>67</v>
      </c>
      <c r="F8" s="2">
        <f t="shared" si="0"/>
        <v>188</v>
      </c>
      <c r="G8" s="2">
        <f t="shared" si="1"/>
        <v>62.666666666666664</v>
      </c>
      <c r="H8" s="2" t="str">
        <f t="shared" si="2"/>
        <v>Pass</v>
      </c>
    </row>
    <row r="9" spans="1:8" x14ac:dyDescent="0.25">
      <c r="A9" s="2">
        <v>108</v>
      </c>
      <c r="B9" s="2" t="s">
        <v>15</v>
      </c>
      <c r="C9" s="2">
        <v>67</v>
      </c>
      <c r="D9" s="2">
        <v>90</v>
      </c>
      <c r="E9" s="2">
        <v>69</v>
      </c>
      <c r="F9" s="2">
        <f t="shared" si="0"/>
        <v>226</v>
      </c>
      <c r="G9" s="2">
        <f t="shared" si="1"/>
        <v>75.333333333333329</v>
      </c>
      <c r="H9" s="2" t="str">
        <f t="shared" si="2"/>
        <v>Pass</v>
      </c>
    </row>
    <row r="10" spans="1:8" x14ac:dyDescent="0.25">
      <c r="A10" s="2">
        <v>109</v>
      </c>
      <c r="B10" s="2" t="s">
        <v>16</v>
      </c>
      <c r="C10" s="2">
        <v>68</v>
      </c>
      <c r="D10" s="2">
        <v>57</v>
      </c>
      <c r="E10" s="2">
        <v>71</v>
      </c>
      <c r="F10" s="2">
        <f t="shared" si="0"/>
        <v>196</v>
      </c>
      <c r="G10" s="2">
        <f t="shared" si="1"/>
        <v>65.333333333333329</v>
      </c>
      <c r="H10" s="2" t="str">
        <f t="shared" si="2"/>
        <v>Pass</v>
      </c>
    </row>
    <row r="13" spans="1:8" x14ac:dyDescent="0.25">
      <c r="B13" t="s">
        <v>17</v>
      </c>
      <c r="C13">
        <f>MIN(C2:C10)</f>
        <v>43</v>
      </c>
      <c r="D13">
        <f>MIN(D2:D10)</f>
        <v>20</v>
      </c>
      <c r="E13">
        <f>MIN(E2:E10)</f>
        <v>34</v>
      </c>
      <c r="F13">
        <f t="shared" ref="F13:G13" si="3">MIN(F2:F10)</f>
        <v>130</v>
      </c>
      <c r="G13">
        <f t="shared" si="3"/>
        <v>43.333333333333336</v>
      </c>
    </row>
    <row r="14" spans="1:8" x14ac:dyDescent="0.25">
      <c r="B14" t="s">
        <v>18</v>
      </c>
      <c r="C14">
        <f>MAX(C2:C10)</f>
        <v>76</v>
      </c>
      <c r="D14">
        <f>MAX(D2:D10)</f>
        <v>90</v>
      </c>
      <c r="E14">
        <f>MAX(E2:E10)</f>
        <v>75</v>
      </c>
      <c r="F14">
        <f t="shared" ref="F14:G14" si="4">MAX(F2:F10)</f>
        <v>226</v>
      </c>
      <c r="G14">
        <f t="shared" si="4"/>
        <v>75.333333333333329</v>
      </c>
    </row>
    <row r="15" spans="1:8" x14ac:dyDescent="0.25">
      <c r="B15" t="s">
        <v>19</v>
      </c>
      <c r="E15">
        <f>COUNTIF(H2:H10, "Pass")</f>
        <v>7</v>
      </c>
    </row>
    <row r="16" spans="1:8" x14ac:dyDescent="0.25">
      <c r="B16" t="s">
        <v>20</v>
      </c>
      <c r="E16">
        <f>COUNTIF(H2:H10,"Fail")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8F3D-D1B0-453C-990D-33694FECCFFB}">
  <dimension ref="A1:T10"/>
  <sheetViews>
    <sheetView topLeftCell="K1" workbookViewId="0">
      <selection activeCell="M2" sqref="M2:M6"/>
    </sheetView>
  </sheetViews>
  <sheetFormatPr defaultRowHeight="15" x14ac:dyDescent="0.25"/>
  <cols>
    <col min="3" max="3" width="10.42578125" bestFit="1" customWidth="1"/>
  </cols>
  <sheetData>
    <row r="1" spans="1:20" x14ac:dyDescent="0.25">
      <c r="A1" s="3" t="s">
        <v>1</v>
      </c>
      <c r="B1" s="3" t="s">
        <v>21</v>
      </c>
      <c r="C1" s="3" t="s">
        <v>22</v>
      </c>
      <c r="D1" s="3" t="s">
        <v>27</v>
      </c>
      <c r="E1" s="3" t="s">
        <v>31</v>
      </c>
      <c r="F1" s="3" t="s">
        <v>32</v>
      </c>
      <c r="G1" s="3" t="s">
        <v>7</v>
      </c>
      <c r="M1" t="s">
        <v>1</v>
      </c>
      <c r="N1" t="s">
        <v>35</v>
      </c>
      <c r="O1" t="s">
        <v>36</v>
      </c>
      <c r="P1" t="s">
        <v>37</v>
      </c>
      <c r="Q1" t="s">
        <v>38</v>
      </c>
      <c r="R1" t="s">
        <v>5</v>
      </c>
      <c r="S1" t="s">
        <v>39</v>
      </c>
      <c r="T1" t="s">
        <v>40</v>
      </c>
    </row>
    <row r="2" spans="1:20" x14ac:dyDescent="0.25">
      <c r="A2" s="4" t="s">
        <v>33</v>
      </c>
      <c r="B2" s="4" t="s">
        <v>3</v>
      </c>
      <c r="C2" s="5">
        <v>54</v>
      </c>
      <c r="D2" s="4" t="s">
        <v>28</v>
      </c>
      <c r="E2" s="4" t="str">
        <f>IF(A2="", "missing", A2)</f>
        <v xml:space="preserve">    saku</v>
      </c>
      <c r="F2" s="4" t="str">
        <f>TRIM(A2)</f>
        <v>saku</v>
      </c>
      <c r="G2" s="4"/>
      <c r="M2" s="2" t="s">
        <v>8</v>
      </c>
      <c r="N2" s="2">
        <v>101</v>
      </c>
      <c r="O2" s="2">
        <v>56</v>
      </c>
      <c r="P2" s="2">
        <v>76</v>
      </c>
      <c r="Q2" s="2">
        <v>54</v>
      </c>
      <c r="R2">
        <f>SUM(O2:Q2)</f>
        <v>186</v>
      </c>
      <c r="S2">
        <f>AVERAGE(O2:Q2)</f>
        <v>62</v>
      </c>
      <c r="T2" s="7">
        <v>50000</v>
      </c>
    </row>
    <row r="3" spans="1:20" x14ac:dyDescent="0.25">
      <c r="A3" s="4"/>
      <c r="B3" s="4" t="s">
        <v>23</v>
      </c>
      <c r="C3" s="6">
        <v>76</v>
      </c>
      <c r="D3" s="4" t="s">
        <v>29</v>
      </c>
      <c r="E3" s="4" t="str">
        <f t="shared" ref="E3:E7" si="0">IF(A3="", "missing", A3)</f>
        <v>missing</v>
      </c>
      <c r="F3" s="4" t="str">
        <f t="shared" ref="F3:F7" si="1">TRIM(A3)</f>
        <v/>
      </c>
      <c r="G3" s="4"/>
      <c r="M3" s="2" t="s">
        <v>9</v>
      </c>
      <c r="N3" s="2">
        <v>102</v>
      </c>
      <c r="O3" s="2">
        <v>76</v>
      </c>
      <c r="P3" s="2">
        <v>20</v>
      </c>
      <c r="Q3" s="2">
        <v>34</v>
      </c>
      <c r="R3">
        <f>SUM(O3:Q3)</f>
        <v>130</v>
      </c>
      <c r="S3">
        <f>AVERAGE(O3:Q3)</f>
        <v>43.333333333333336</v>
      </c>
      <c r="T3" s="7">
        <v>333333</v>
      </c>
    </row>
    <row r="4" spans="1:20" x14ac:dyDescent="0.25">
      <c r="A4" s="4" t="s">
        <v>10</v>
      </c>
      <c r="B4" s="4" t="s">
        <v>2</v>
      </c>
      <c r="C4" s="4">
        <v>87</v>
      </c>
      <c r="D4" s="4" t="s">
        <v>30</v>
      </c>
      <c r="E4" s="4" t="str">
        <f t="shared" si="0"/>
        <v>omkar</v>
      </c>
      <c r="F4" s="4" t="str">
        <f t="shared" si="1"/>
        <v>omkar</v>
      </c>
      <c r="G4" s="4"/>
      <c r="M4" s="2" t="s">
        <v>10</v>
      </c>
      <c r="N4" s="2">
        <v>103</v>
      </c>
      <c r="O4" s="2">
        <v>64</v>
      </c>
      <c r="P4" s="2">
        <v>64</v>
      </c>
      <c r="Q4" s="2">
        <v>64</v>
      </c>
      <c r="R4">
        <f>SUM(O4:Q4)</f>
        <v>192</v>
      </c>
      <c r="S4">
        <f>AVERAGE(O4:Q4)</f>
        <v>64</v>
      </c>
      <c r="T4" s="7">
        <v>543525</v>
      </c>
    </row>
    <row r="5" spans="1:20" x14ac:dyDescent="0.25">
      <c r="A5" s="4" t="s">
        <v>34</v>
      </c>
      <c r="B5" s="4" t="s">
        <v>24</v>
      </c>
      <c r="C5" s="4">
        <v>87</v>
      </c>
      <c r="D5" s="4" t="s">
        <v>28</v>
      </c>
      <c r="E5" s="4" t="str">
        <f t="shared" si="0"/>
        <v>man</v>
      </c>
      <c r="F5" s="4" t="str">
        <f t="shared" si="1"/>
        <v>man</v>
      </c>
      <c r="G5" s="4"/>
      <c r="M5" s="2" t="s">
        <v>11</v>
      </c>
      <c r="N5" s="2">
        <v>104</v>
      </c>
      <c r="O5" s="2">
        <v>65</v>
      </c>
      <c r="P5" s="2">
        <v>43</v>
      </c>
      <c r="Q5" s="2">
        <v>43</v>
      </c>
      <c r="R5">
        <f>SUM(O5:Q5)</f>
        <v>151</v>
      </c>
      <c r="S5">
        <f>AVERAGE(O5:Q5)</f>
        <v>50.333333333333336</v>
      </c>
      <c r="T5" s="7">
        <v>524234</v>
      </c>
    </row>
    <row r="6" spans="1:20" x14ac:dyDescent="0.25">
      <c r="A6" s="4"/>
      <c r="B6" s="4" t="s">
        <v>25</v>
      </c>
      <c r="C6" s="4">
        <v>45</v>
      </c>
      <c r="D6" s="4" t="s">
        <v>28</v>
      </c>
      <c r="E6" s="4" t="str">
        <f t="shared" si="0"/>
        <v>missing</v>
      </c>
      <c r="F6" s="4" t="str">
        <f t="shared" si="1"/>
        <v/>
      </c>
      <c r="G6" s="4"/>
      <c r="M6" s="2" t="s">
        <v>12</v>
      </c>
      <c r="N6" s="2">
        <v>105</v>
      </c>
      <c r="O6" s="2">
        <v>43</v>
      </c>
      <c r="P6" s="2">
        <v>65</v>
      </c>
      <c r="Q6" s="2">
        <v>75</v>
      </c>
      <c r="R6">
        <f>SUM(O6:Q6)</f>
        <v>183</v>
      </c>
      <c r="S6">
        <f>AVERAGE(O6:Q6)</f>
        <v>61</v>
      </c>
      <c r="T6" s="7">
        <v>23232</v>
      </c>
    </row>
    <row r="7" spans="1:20" x14ac:dyDescent="0.25">
      <c r="A7" s="4" t="s">
        <v>14</v>
      </c>
      <c r="B7" s="4" t="s">
        <v>26</v>
      </c>
      <c r="C7" s="4">
        <v>76</v>
      </c>
      <c r="D7" s="4" t="s">
        <v>29</v>
      </c>
      <c r="E7" s="4" t="str">
        <f t="shared" si="0"/>
        <v>kasturi</v>
      </c>
      <c r="F7" s="4" t="str">
        <f t="shared" si="1"/>
        <v>kasturi</v>
      </c>
      <c r="G7" s="4"/>
      <c r="M7" s="2" t="s">
        <v>14</v>
      </c>
      <c r="N7" s="2">
        <v>107</v>
      </c>
      <c r="O7" s="2">
        <v>66</v>
      </c>
      <c r="P7" s="2">
        <v>55</v>
      </c>
      <c r="Q7" s="2">
        <v>67</v>
      </c>
      <c r="R7">
        <f>SUM(O7:Q7)</f>
        <v>188</v>
      </c>
      <c r="S7">
        <f>AVERAGE(O7:Q7)</f>
        <v>62.666666666666664</v>
      </c>
      <c r="T7" s="7">
        <v>443243</v>
      </c>
    </row>
    <row r="8" spans="1:20" x14ac:dyDescent="0.25">
      <c r="M8" s="2" t="s">
        <v>15</v>
      </c>
      <c r="N8" s="2">
        <v>108</v>
      </c>
      <c r="O8" s="2">
        <v>67</v>
      </c>
      <c r="P8" s="2">
        <v>90</v>
      </c>
      <c r="Q8" s="2">
        <v>69</v>
      </c>
      <c r="R8">
        <f>SUM(O8:Q8)</f>
        <v>226</v>
      </c>
      <c r="S8">
        <f>AVERAGE(O8:Q8)</f>
        <v>75.333333333333329</v>
      </c>
      <c r="T8" s="7">
        <v>65655</v>
      </c>
    </row>
    <row r="10" spans="1:20" x14ac:dyDescent="0.25">
      <c r="M10" s="2" t="s">
        <v>16</v>
      </c>
      <c r="N10" s="2">
        <v>109</v>
      </c>
      <c r="O10" s="2">
        <v>68</v>
      </c>
      <c r="P10" s="2">
        <v>57</v>
      </c>
      <c r="Q10" s="2">
        <v>71</v>
      </c>
      <c r="R10">
        <f t="shared" ref="R3:R10" si="2">SUM(O10:Q10)</f>
        <v>196</v>
      </c>
      <c r="S10">
        <f t="shared" ref="S3:S10" si="3">AVERAGE(O10:Q10)</f>
        <v>65.333333333333329</v>
      </c>
      <c r="T10" s="7">
        <v>556565</v>
      </c>
    </row>
  </sheetData>
  <pageMargins left="0.7" right="0.7" top="0.75" bottom="0.75" header="0.3" footer="0.3"/>
  <pageSetup paperSize="9" orientation="portrait" r:id="rId1"/>
  <ignoredErrors>
    <ignoredError sqref="S1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9E87-360D-4EC4-B730-735CD760C359}">
  <dimension ref="A1:H9"/>
  <sheetViews>
    <sheetView workbookViewId="0">
      <selection activeCell="C23" sqref="C23"/>
    </sheetView>
  </sheetViews>
  <sheetFormatPr defaultRowHeight="15" x14ac:dyDescent="0.25"/>
  <cols>
    <col min="1" max="1" width="12.85546875" bestFit="1" customWidth="1"/>
    <col min="2" max="2" width="10.42578125" bestFit="1" customWidth="1"/>
    <col min="3" max="4" width="10.5703125" bestFit="1" customWidth="1"/>
    <col min="7" max="7" width="10.28515625" bestFit="1" customWidth="1"/>
    <col min="8" max="8" width="9.42578125" bestFit="1" customWidth="1"/>
  </cols>
  <sheetData>
    <row r="1" spans="1:8" s="9" customFormat="1" x14ac:dyDescent="0.25">
      <c r="A1" s="9" t="s">
        <v>44</v>
      </c>
      <c r="B1" s="9" t="s">
        <v>45</v>
      </c>
      <c r="C1" s="9" t="s">
        <v>49</v>
      </c>
      <c r="D1" s="9" t="s">
        <v>50</v>
      </c>
      <c r="E1" s="12"/>
      <c r="F1" s="12"/>
      <c r="G1" s="9" t="s">
        <v>51</v>
      </c>
      <c r="H1" s="9" t="s">
        <v>52</v>
      </c>
    </row>
    <row r="2" spans="1:8" s="8" customFormat="1" x14ac:dyDescent="0.25">
      <c r="A2" s="8" t="s">
        <v>46</v>
      </c>
      <c r="B2" s="10">
        <v>45971</v>
      </c>
      <c r="C2" s="10">
        <v>45971</v>
      </c>
      <c r="E2" s="12"/>
      <c r="F2" s="12"/>
      <c r="G2" s="8" t="s">
        <v>8</v>
      </c>
      <c r="H2" s="11" t="s">
        <v>53</v>
      </c>
    </row>
    <row r="3" spans="1:8" s="8" customFormat="1" x14ac:dyDescent="0.25">
      <c r="A3" s="8" t="s">
        <v>47</v>
      </c>
      <c r="B3" s="10">
        <v>45938</v>
      </c>
      <c r="C3" s="10">
        <v>45963</v>
      </c>
      <c r="E3" s="12"/>
      <c r="F3" s="12"/>
      <c r="G3" s="8" t="s">
        <v>9</v>
      </c>
      <c r="H3" s="11" t="s">
        <v>8</v>
      </c>
    </row>
    <row r="4" spans="1:8" s="8" customFormat="1" x14ac:dyDescent="0.25">
      <c r="A4" s="8" t="s">
        <v>48</v>
      </c>
      <c r="B4" s="10">
        <v>45969</v>
      </c>
      <c r="C4" s="10">
        <v>45972</v>
      </c>
      <c r="E4" s="12"/>
      <c r="F4" s="12"/>
      <c r="G4" s="8" t="s">
        <v>10</v>
      </c>
      <c r="H4" s="11" t="s">
        <v>54</v>
      </c>
    </row>
    <row r="5" spans="1:8" s="8" customFormat="1" x14ac:dyDescent="0.25">
      <c r="E5" s="12"/>
      <c r="F5" s="12"/>
      <c r="G5" s="8" t="s">
        <v>11</v>
      </c>
      <c r="H5" s="11" t="s">
        <v>55</v>
      </c>
    </row>
    <row r="6" spans="1:8" s="13" customFormat="1" x14ac:dyDescent="0.25">
      <c r="E6" s="14"/>
      <c r="F6" s="14"/>
      <c r="G6" s="13" t="s">
        <v>12</v>
      </c>
      <c r="H6" s="15" t="s">
        <v>56</v>
      </c>
    </row>
    <row r="7" spans="1:8" s="16" customFormat="1" x14ac:dyDescent="0.25"/>
    <row r="8" spans="1:8" s="16" customFormat="1" x14ac:dyDescent="0.25"/>
    <row r="9" spans="1:8" s="16" customFormat="1" x14ac:dyDescent="0.25"/>
  </sheetData>
  <dataValidations count="3">
    <dataValidation type="date" operator="lessThanOrEqual" allowBlank="1" showInputMessage="1" showErrorMessage="1" sqref="B2:B4" xr:uid="{2BC96CB6-F9D7-4C57-941E-A088B8AB8EDF}">
      <formula1>TODAY()</formula1>
    </dataValidation>
    <dataValidation type="date" allowBlank="1" showInputMessage="1" showErrorMessage="1" sqref="C2:C4" xr:uid="{0DF5B189-EBCE-4DAF-B5DD-7555AD70DA05}">
      <formula1>45962</formula1>
      <formula2>45972</formula2>
    </dataValidation>
    <dataValidation type="textLength" allowBlank="1" showInputMessage="1" showErrorMessage="1" errorTitle="Invalid Password" error="Password length should be between 5-8" promptTitle="passward Info" prompt="Password length should be between 5 to 8 characters" sqref="H2:H6" xr:uid="{3B15FF4A-9DEC-425F-8453-4DF33101C4A5}">
      <formula1>5</formula1>
      <formula2>8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CF117-A2B2-45CC-A28E-5C7EF2ABE5BA}">
  <dimension ref="A1:C10"/>
  <sheetViews>
    <sheetView workbookViewId="0">
      <selection activeCell="E1" sqref="E1:F6"/>
    </sheetView>
  </sheetViews>
  <sheetFormatPr defaultRowHeight="15" x14ac:dyDescent="0.25"/>
  <cols>
    <col min="5" max="5" width="10.28515625" bestFit="1" customWidth="1"/>
  </cols>
  <sheetData>
    <row r="1" spans="1:3" x14ac:dyDescent="0.25">
      <c r="A1" t="s">
        <v>41</v>
      </c>
      <c r="B1" t="s">
        <v>42</v>
      </c>
      <c r="C1" t="s">
        <v>43</v>
      </c>
    </row>
    <row r="2" spans="1:3" x14ac:dyDescent="0.25">
      <c r="A2">
        <v>1</v>
      </c>
      <c r="B2">
        <v>87</v>
      </c>
      <c r="C2">
        <v>3</v>
      </c>
    </row>
    <row r="3" spans="1:3" x14ac:dyDescent="0.25">
      <c r="A3">
        <v>2</v>
      </c>
      <c r="B3">
        <v>97</v>
      </c>
      <c r="C3">
        <v>4</v>
      </c>
    </row>
    <row r="4" spans="1:3" x14ac:dyDescent="0.25">
      <c r="A4">
        <v>3</v>
      </c>
      <c r="B4">
        <v>87</v>
      </c>
      <c r="C4">
        <v>2</v>
      </c>
    </row>
    <row r="5" spans="1:3" x14ac:dyDescent="0.25">
      <c r="A5">
        <v>4</v>
      </c>
      <c r="B5">
        <v>78</v>
      </c>
      <c r="C5">
        <v>4</v>
      </c>
    </row>
    <row r="6" spans="1:3" x14ac:dyDescent="0.25">
      <c r="A6">
        <v>5</v>
      </c>
      <c r="B6">
        <v>87</v>
      </c>
      <c r="C6">
        <v>2</v>
      </c>
    </row>
    <row r="7" spans="1:3" x14ac:dyDescent="0.25">
      <c r="A7">
        <v>6</v>
      </c>
      <c r="B7">
        <v>98</v>
      </c>
      <c r="C7">
        <v>1</v>
      </c>
    </row>
    <row r="8" spans="1:3" x14ac:dyDescent="0.25">
      <c r="A8">
        <v>7</v>
      </c>
      <c r="B8">
        <v>87</v>
      </c>
      <c r="C8">
        <v>3</v>
      </c>
    </row>
    <row r="9" spans="1:3" x14ac:dyDescent="0.25">
      <c r="A9">
        <v>8</v>
      </c>
      <c r="B9">
        <v>95</v>
      </c>
      <c r="C9">
        <v>1</v>
      </c>
    </row>
    <row r="10" spans="1:3" x14ac:dyDescent="0.25">
      <c r="A10">
        <v>9</v>
      </c>
      <c r="B10">
        <v>65</v>
      </c>
      <c r="C10">
        <v>3</v>
      </c>
    </row>
  </sheetData>
  <dataValidations count="1">
    <dataValidation type="whole" allowBlank="1" showInputMessage="1" showErrorMessage="1" errorTitle="Invalid Input" error="Number must be between 1 to 100" promptTitle="Enter Number" prompt="Enter Number between 1 to 100" sqref="B2:B10" xr:uid="{CA539F75-DB18-455E-8CEE-F4C002988BB5}">
      <formula1>1</formula1>
      <formula2>100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6666-D901-4C1F-AE23-435AEB84E0C1}">
  <dimension ref="A1:F18"/>
  <sheetViews>
    <sheetView topLeftCell="A22" workbookViewId="0">
      <selection activeCell="C40" sqref="C40"/>
    </sheetView>
  </sheetViews>
  <sheetFormatPr defaultRowHeight="15" x14ac:dyDescent="0.25"/>
  <cols>
    <col min="1" max="1" width="14.140625" bestFit="1" customWidth="1"/>
    <col min="2" max="2" width="11.42578125" bestFit="1" customWidth="1"/>
    <col min="3" max="3" width="10" bestFit="1" customWidth="1"/>
    <col min="5" max="5" width="20.5703125" bestFit="1" customWidth="1"/>
    <col min="6" max="6" width="19.7109375" bestFit="1" customWidth="1"/>
  </cols>
  <sheetData>
    <row r="1" spans="1:6" s="17" customFormat="1" x14ac:dyDescent="0.25">
      <c r="A1" s="17" t="s">
        <v>57</v>
      </c>
      <c r="B1" s="17" t="s">
        <v>58</v>
      </c>
      <c r="C1" s="17" t="s">
        <v>59</v>
      </c>
      <c r="D1" s="17" t="s">
        <v>60</v>
      </c>
      <c r="E1" s="17" t="s">
        <v>77</v>
      </c>
      <c r="F1" s="17" t="s">
        <v>78</v>
      </c>
    </row>
    <row r="2" spans="1:6" s="18" customFormat="1" x14ac:dyDescent="0.25">
      <c r="A2" s="18" t="s">
        <v>61</v>
      </c>
      <c r="B2" s="18" t="s">
        <v>71</v>
      </c>
      <c r="C2" s="19">
        <v>0.375</v>
      </c>
      <c r="D2" s="19">
        <v>0.5</v>
      </c>
      <c r="E2" s="19">
        <v>0.375</v>
      </c>
      <c r="F2" s="19">
        <v>0.20833333333333334</v>
      </c>
    </row>
    <row r="3" spans="1:6" s="18" customFormat="1" x14ac:dyDescent="0.25">
      <c r="A3" s="18" t="s">
        <v>62</v>
      </c>
      <c r="B3" s="18" t="s">
        <v>71</v>
      </c>
      <c r="C3" s="19">
        <v>0.41666666666666669</v>
      </c>
      <c r="D3" s="19">
        <v>4.1666666666666664E-2</v>
      </c>
      <c r="E3" s="19">
        <v>0.38541666666666669</v>
      </c>
      <c r="F3" s="19">
        <v>0.21875</v>
      </c>
    </row>
    <row r="4" spans="1:6" s="18" customFormat="1" x14ac:dyDescent="0.25">
      <c r="A4" s="18" t="s">
        <v>63</v>
      </c>
      <c r="B4" s="18" t="s">
        <v>71</v>
      </c>
      <c r="C4" s="19">
        <v>0.52083333333333337</v>
      </c>
      <c r="D4" s="19">
        <v>0.16666666666666666</v>
      </c>
      <c r="E4" s="19">
        <v>0.37569444444444444</v>
      </c>
      <c r="F4" s="19">
        <v>0.22916666666666666</v>
      </c>
    </row>
    <row r="5" spans="1:6" s="18" customFormat="1" x14ac:dyDescent="0.25">
      <c r="A5" s="18" t="s">
        <v>64</v>
      </c>
      <c r="B5" s="18" t="s">
        <v>72</v>
      </c>
      <c r="C5" s="19">
        <v>0.375</v>
      </c>
      <c r="D5" s="19">
        <v>0.45833333333333331</v>
      </c>
      <c r="E5" s="19">
        <v>0.38194444444444442</v>
      </c>
      <c r="F5" s="19">
        <v>0.22430555555555556</v>
      </c>
    </row>
    <row r="6" spans="1:6" s="18" customFormat="1" x14ac:dyDescent="0.25">
      <c r="A6" s="18" t="s">
        <v>65</v>
      </c>
      <c r="B6" s="18" t="s">
        <v>72</v>
      </c>
      <c r="C6" s="19">
        <v>0.44791666666666669</v>
      </c>
      <c r="D6" s="19">
        <v>8.3333333333333329E-2</v>
      </c>
      <c r="E6" s="19">
        <v>0.38472222222222224</v>
      </c>
      <c r="F6" s="19">
        <v>0.265972222222222</v>
      </c>
    </row>
    <row r="7" spans="1:6" s="18" customFormat="1" x14ac:dyDescent="0.25">
      <c r="A7" s="18" t="s">
        <v>66</v>
      </c>
      <c r="B7" s="18" t="s">
        <v>73</v>
      </c>
      <c r="C7" s="19">
        <v>0.52083333333333337</v>
      </c>
      <c r="D7" s="19">
        <v>0.125</v>
      </c>
      <c r="E7" s="19">
        <v>0.375</v>
      </c>
      <c r="F7" s="19">
        <v>0.30763888888888902</v>
      </c>
    </row>
    <row r="8" spans="1:6" s="18" customFormat="1" x14ac:dyDescent="0.25">
      <c r="A8" s="18" t="s">
        <v>67</v>
      </c>
      <c r="B8" s="18" t="s">
        <v>73</v>
      </c>
      <c r="C8" s="19">
        <v>0.375</v>
      </c>
      <c r="D8" s="19">
        <v>0.16666666666666699</v>
      </c>
      <c r="E8" s="19">
        <v>0.41666666666666702</v>
      </c>
      <c r="F8" s="19">
        <v>0.34930555555555598</v>
      </c>
    </row>
    <row r="9" spans="1:6" s="18" customFormat="1" x14ac:dyDescent="0.25">
      <c r="A9" s="18" t="s">
        <v>68</v>
      </c>
      <c r="B9" s="18" t="s">
        <v>73</v>
      </c>
      <c r="C9" s="19">
        <v>0.33333333333333331</v>
      </c>
      <c r="D9" s="19">
        <v>0.20833333333333301</v>
      </c>
      <c r="E9" s="19">
        <v>0.45833333333333298</v>
      </c>
      <c r="F9" s="19">
        <v>0.390972222222222</v>
      </c>
    </row>
    <row r="10" spans="1:6" s="18" customFormat="1" x14ac:dyDescent="0.25">
      <c r="A10" s="18" t="s">
        <v>69</v>
      </c>
      <c r="B10" s="18" t="s">
        <v>74</v>
      </c>
      <c r="C10" s="19">
        <v>0.25</v>
      </c>
      <c r="D10" s="19">
        <v>0.25</v>
      </c>
      <c r="E10" s="19">
        <v>0.5</v>
      </c>
      <c r="F10" s="19">
        <v>0.43263888888888902</v>
      </c>
    </row>
    <row r="11" spans="1:6" s="18" customFormat="1" x14ac:dyDescent="0.25">
      <c r="A11" s="18" t="s">
        <v>70</v>
      </c>
      <c r="B11" s="18" t="s">
        <v>74</v>
      </c>
      <c r="C11" s="19">
        <v>0.45833333333333331</v>
      </c>
      <c r="D11" s="19">
        <v>0.29166666666666702</v>
      </c>
      <c r="E11" s="19">
        <v>0.54166666666666696</v>
      </c>
      <c r="F11" s="19">
        <v>0.47430555555555598</v>
      </c>
    </row>
    <row r="17" spans="2:2" x14ac:dyDescent="0.25">
      <c r="B17" t="s">
        <v>75</v>
      </c>
    </row>
    <row r="18" spans="2:2" x14ac:dyDescent="0.25">
      <c r="B18" t="s">
        <v>76</v>
      </c>
    </row>
  </sheetData>
  <phoneticPr fontId="3" type="noConversion"/>
  <dataValidations count="2">
    <dataValidation type="time" allowBlank="1" showInputMessage="1" showErrorMessage="1" sqref="E2:E11" xr:uid="{5FA32FE9-30FF-466C-ADA6-9699B430F413}">
      <formula1>0.375</formula1>
      <formula2>0.385416666666667</formula2>
    </dataValidation>
    <dataValidation type="time" allowBlank="1" showInputMessage="1" showErrorMessage="1" sqref="F2:F11" xr:uid="{AD81ECEC-E472-4602-BBC6-595B7A0A0C3E}">
      <formula1>0.208333333333333</formula1>
      <formula2>0.229166666666667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5E96-729A-4A06-827D-255A7A9B510F}">
  <dimension ref="A1:K17"/>
  <sheetViews>
    <sheetView topLeftCell="A10" workbookViewId="0">
      <selection activeCell="U24" sqref="U24"/>
    </sheetView>
  </sheetViews>
  <sheetFormatPr defaultRowHeight="15" x14ac:dyDescent="0.25"/>
  <sheetData>
    <row r="1" spans="1:4" x14ac:dyDescent="0.25">
      <c r="A1" t="s">
        <v>79</v>
      </c>
      <c r="B1" t="s">
        <v>80</v>
      </c>
      <c r="C1" t="s">
        <v>81</v>
      </c>
      <c r="D1" t="s">
        <v>82</v>
      </c>
    </row>
    <row r="2" spans="1:4" x14ac:dyDescent="0.25">
      <c r="A2" s="2" t="s">
        <v>8</v>
      </c>
      <c r="B2" t="s">
        <v>83</v>
      </c>
      <c r="C2">
        <v>120000</v>
      </c>
      <c r="D2">
        <v>2000</v>
      </c>
    </row>
    <row r="3" spans="1:4" x14ac:dyDescent="0.25">
      <c r="A3" s="2" t="s">
        <v>9</v>
      </c>
      <c r="B3" t="s">
        <v>84</v>
      </c>
      <c r="C3">
        <v>4355</v>
      </c>
      <c r="D3">
        <v>500</v>
      </c>
    </row>
    <row r="4" spans="1:4" x14ac:dyDescent="0.25">
      <c r="A4" s="2" t="s">
        <v>10</v>
      </c>
      <c r="B4" t="s">
        <v>85</v>
      </c>
      <c r="C4">
        <v>3000</v>
      </c>
      <c r="D4">
        <v>3000</v>
      </c>
    </row>
    <row r="5" spans="1:4" x14ac:dyDescent="0.25">
      <c r="A5" s="2" t="s">
        <v>11</v>
      </c>
      <c r="B5" t="s">
        <v>86</v>
      </c>
      <c r="C5">
        <v>100</v>
      </c>
      <c r="D5">
        <v>100</v>
      </c>
    </row>
    <row r="6" spans="1:4" x14ac:dyDescent="0.25">
      <c r="A6" s="2" t="s">
        <v>12</v>
      </c>
      <c r="B6" t="s">
        <v>83</v>
      </c>
      <c r="C6">
        <v>40000</v>
      </c>
      <c r="D6">
        <v>4000</v>
      </c>
    </row>
    <row r="7" spans="1:4" x14ac:dyDescent="0.25">
      <c r="A7" s="2" t="s">
        <v>13</v>
      </c>
      <c r="B7" t="s">
        <v>86</v>
      </c>
      <c r="C7">
        <v>100000</v>
      </c>
      <c r="D7">
        <v>10000</v>
      </c>
    </row>
    <row r="17" spans="11:11" x14ac:dyDescent="0.25">
      <c r="K17" s="20"/>
    </row>
  </sheetData>
  <conditionalFormatting sqref="C2:C7">
    <cfRule type="cellIs" dxfId="0" priority="4" operator="greaterThan">
      <formula>100000</formula>
    </cfRule>
    <cfRule type="cellIs" dxfId="1" priority="3" operator="greaterThan">
      <formula>10000</formula>
    </cfRule>
    <cfRule type="cellIs" dxfId="2" priority="1" operator="greaterThan">
      <formula>10000</formula>
    </cfRule>
  </conditionalFormatting>
  <conditionalFormatting sqref="D2:D7">
    <cfRule type="cellIs" dxfId="3" priority="2" operator="lessThan">
      <formula>1000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C8008-85AA-404F-A52B-2CA86BB53135}">
  <dimension ref="A1:E12"/>
  <sheetViews>
    <sheetView tabSelected="1" workbookViewId="0">
      <selection activeCell="V17" sqref="V17"/>
    </sheetView>
  </sheetViews>
  <sheetFormatPr defaultRowHeight="15" x14ac:dyDescent="0.25"/>
  <cols>
    <col min="1" max="1" width="12.85546875" bestFit="1" customWidth="1"/>
  </cols>
  <sheetData>
    <row r="1" spans="1:5" x14ac:dyDescent="0.25">
      <c r="A1" t="s">
        <v>87</v>
      </c>
      <c r="B1" t="s">
        <v>93</v>
      </c>
      <c r="C1" t="s">
        <v>97</v>
      </c>
      <c r="D1" t="s">
        <v>98</v>
      </c>
      <c r="E1" t="s">
        <v>99</v>
      </c>
    </row>
    <row r="2" spans="1:5" x14ac:dyDescent="0.25">
      <c r="A2" t="s">
        <v>88</v>
      </c>
      <c r="B2" t="s">
        <v>28</v>
      </c>
      <c r="C2">
        <v>2</v>
      </c>
      <c r="D2">
        <v>1000</v>
      </c>
      <c r="E2">
        <f>C2*D2</f>
        <v>2000</v>
      </c>
    </row>
    <row r="3" spans="1:5" x14ac:dyDescent="0.25">
      <c r="A3" t="s">
        <v>89</v>
      </c>
      <c r="B3" t="s">
        <v>30</v>
      </c>
      <c r="C3">
        <v>4</v>
      </c>
      <c r="D3">
        <v>343</v>
      </c>
      <c r="E3">
        <f t="shared" ref="E3:E6" si="0">C3*D3</f>
        <v>1372</v>
      </c>
    </row>
    <row r="4" spans="1:5" x14ac:dyDescent="0.25">
      <c r="A4" t="s">
        <v>90</v>
      </c>
      <c r="B4" t="s">
        <v>94</v>
      </c>
      <c r="C4">
        <v>2</v>
      </c>
      <c r="D4">
        <v>300</v>
      </c>
      <c r="E4">
        <f t="shared" si="0"/>
        <v>600</v>
      </c>
    </row>
    <row r="5" spans="1:5" x14ac:dyDescent="0.25">
      <c r="A5" t="s">
        <v>91</v>
      </c>
      <c r="B5" t="s">
        <v>95</v>
      </c>
      <c r="C5">
        <v>5</v>
      </c>
      <c r="D5">
        <v>200</v>
      </c>
      <c r="E5">
        <f t="shared" si="0"/>
        <v>1000</v>
      </c>
    </row>
    <row r="6" spans="1:5" x14ac:dyDescent="0.25">
      <c r="A6" t="s">
        <v>92</v>
      </c>
      <c r="B6" t="s">
        <v>96</v>
      </c>
      <c r="C6">
        <v>4</v>
      </c>
      <c r="D6">
        <v>500</v>
      </c>
      <c r="E6">
        <f t="shared" si="0"/>
        <v>2000</v>
      </c>
    </row>
    <row r="8" spans="1:5" x14ac:dyDescent="0.25">
      <c r="D8" t="s">
        <v>5</v>
      </c>
      <c r="E8">
        <f>SUM(E2:E6)</f>
        <v>6972</v>
      </c>
    </row>
    <row r="9" spans="1:5" x14ac:dyDescent="0.25">
      <c r="D9" t="s">
        <v>17</v>
      </c>
      <c r="E9">
        <f>MIN(E2:E6)</f>
        <v>600</v>
      </c>
    </row>
    <row r="10" spans="1:5" x14ac:dyDescent="0.25">
      <c r="D10" t="s">
        <v>18</v>
      </c>
      <c r="E10">
        <f>MAX(E2:E6)</f>
        <v>2000</v>
      </c>
    </row>
    <row r="11" spans="1:5" x14ac:dyDescent="0.25">
      <c r="D11" t="s">
        <v>100</v>
      </c>
      <c r="E11">
        <f>E8*0.05</f>
        <v>348.6</v>
      </c>
    </row>
    <row r="12" spans="1:5" x14ac:dyDescent="0.25">
      <c r="D12" t="s">
        <v>101</v>
      </c>
      <c r="E12">
        <f>E8+E11</f>
        <v>7320.6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Unit Test 1</vt:lpstr>
      <vt:lpstr>Data Validation</vt:lpstr>
      <vt:lpstr>Data Validation - Constraints</vt:lpstr>
      <vt:lpstr>Data Validation - Whole Nos</vt:lpstr>
      <vt:lpstr>Data Validation - Time</vt:lpstr>
      <vt:lpstr>Condition Formatting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ITCS</dc:creator>
  <cp:lastModifiedBy>ITCS</cp:lastModifiedBy>
  <dcterms:created xsi:type="dcterms:W3CDTF">2025-11-10T08:46:21Z</dcterms:created>
  <dcterms:modified xsi:type="dcterms:W3CDTF">2025-11-10T11:43:56Z</dcterms:modified>
</cp:coreProperties>
</file>